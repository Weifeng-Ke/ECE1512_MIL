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hs\Workspace\UofT\Fall_2025\ECE1512\Project_B\ECE1512 Project B\ECE1512 Project B\Final\"/>
    </mc:Choice>
  </mc:AlternateContent>
  <xr:revisionPtr revIDLastSave="0" documentId="13_ncr:1_{CFC0215F-C664-4BE3-B95D-1CA35E6C8682}" xr6:coauthVersionLast="47" xr6:coauthVersionMax="47" xr10:uidLastSave="{00000000-0000-0000-0000-000000000000}"/>
  <bookViews>
    <workbookView xWindow="-110" yWindow="-110" windowWidth="19420" windowHeight="10300" xr2:uid="{6E08C7BA-615E-4561-84E2-AA26B8027895}"/>
  </bookViews>
  <sheets>
    <sheet name="BRACS" sheetId="4" r:id="rId1"/>
    <sheet name="CAMELYON17" sheetId="2" r:id="rId2"/>
    <sheet name="CAMELYON16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5" l="1"/>
  <c r="K16" i="5"/>
  <c r="J16" i="5"/>
  <c r="I16" i="5"/>
  <c r="H16" i="5"/>
  <c r="L15" i="5"/>
  <c r="K15" i="5"/>
  <c r="J15" i="5"/>
  <c r="I15" i="5"/>
  <c r="H15" i="5"/>
  <c r="L14" i="5"/>
  <c r="K14" i="5"/>
  <c r="J14" i="5"/>
  <c r="I14" i="5"/>
  <c r="H14" i="5"/>
  <c r="L13" i="5"/>
  <c r="K13" i="5"/>
  <c r="J13" i="5"/>
  <c r="I13" i="5"/>
  <c r="H13" i="5"/>
  <c r="L12" i="5"/>
  <c r="K12" i="5"/>
  <c r="J12" i="5"/>
  <c r="I12" i="5"/>
  <c r="H12" i="5"/>
  <c r="L11" i="5"/>
  <c r="K11" i="5"/>
  <c r="J11" i="5"/>
  <c r="I11" i="5"/>
  <c r="H11" i="5"/>
  <c r="L10" i="5"/>
  <c r="K10" i="5"/>
  <c r="J10" i="5"/>
  <c r="I10" i="5"/>
  <c r="H10" i="5"/>
  <c r="L9" i="5"/>
  <c r="K9" i="5"/>
  <c r="J9" i="5"/>
  <c r="I9" i="5"/>
  <c r="H9" i="5"/>
  <c r="L8" i="5"/>
  <c r="K8" i="5"/>
  <c r="J8" i="5"/>
  <c r="I8" i="5"/>
  <c r="H8" i="5"/>
  <c r="L7" i="5"/>
  <c r="K7" i="5"/>
  <c r="J7" i="5"/>
  <c r="I7" i="5"/>
  <c r="H7" i="5"/>
  <c r="L6" i="5"/>
  <c r="K6" i="5"/>
  <c r="J6" i="5"/>
  <c r="I6" i="5"/>
  <c r="H6" i="5"/>
  <c r="L5" i="5"/>
  <c r="K5" i="5"/>
  <c r="J5" i="5"/>
  <c r="I5" i="5"/>
  <c r="H5" i="5"/>
  <c r="L4" i="5"/>
  <c r="K4" i="5"/>
  <c r="J4" i="5"/>
  <c r="I4" i="5"/>
  <c r="H4" i="5"/>
  <c r="L3" i="5"/>
  <c r="K3" i="5"/>
  <c r="J3" i="5"/>
  <c r="I3" i="5"/>
  <c r="H3" i="5"/>
  <c r="L2" i="5"/>
  <c r="K2" i="5"/>
  <c r="J2" i="5"/>
  <c r="I2" i="5"/>
  <c r="H2" i="5"/>
  <c r="H3" i="2"/>
  <c r="I3" i="2"/>
  <c r="J3" i="2"/>
  <c r="K3" i="2"/>
  <c r="L3" i="2"/>
  <c r="H4" i="2"/>
  <c r="I4" i="2"/>
  <c r="J4" i="2"/>
  <c r="K4" i="2"/>
  <c r="L4" i="2"/>
  <c r="H5" i="2"/>
  <c r="I5" i="2"/>
  <c r="J5" i="2"/>
  <c r="K5" i="2"/>
  <c r="L5" i="2"/>
  <c r="H6" i="2"/>
  <c r="I6" i="2"/>
  <c r="J6" i="2"/>
  <c r="K6" i="2"/>
  <c r="L6" i="2"/>
  <c r="H7" i="2"/>
  <c r="I7" i="2"/>
  <c r="J7" i="2"/>
  <c r="K7" i="2"/>
  <c r="L7" i="2"/>
  <c r="H8" i="2"/>
  <c r="I8" i="2"/>
  <c r="J8" i="2"/>
  <c r="K8" i="2"/>
  <c r="L8" i="2"/>
  <c r="H9" i="2"/>
  <c r="I9" i="2"/>
  <c r="J9" i="2"/>
  <c r="K9" i="2"/>
  <c r="L9" i="2"/>
  <c r="H10" i="2"/>
  <c r="I10" i="2"/>
  <c r="J10" i="2"/>
  <c r="K10" i="2"/>
  <c r="L10" i="2"/>
  <c r="H11" i="2"/>
  <c r="I11" i="2"/>
  <c r="J11" i="2"/>
  <c r="K11" i="2"/>
  <c r="L11" i="2"/>
  <c r="H12" i="2"/>
  <c r="I12" i="2"/>
  <c r="J12" i="2"/>
  <c r="K12" i="2"/>
  <c r="L12" i="2"/>
  <c r="H13" i="2"/>
  <c r="I13" i="2"/>
  <c r="J13" i="2"/>
  <c r="K13" i="2"/>
  <c r="L13" i="2"/>
  <c r="H14" i="2"/>
  <c r="I14" i="2"/>
  <c r="J14" i="2"/>
  <c r="K14" i="2"/>
  <c r="L14" i="2"/>
  <c r="H15" i="2"/>
  <c r="I15" i="2"/>
  <c r="J15" i="2"/>
  <c r="K15" i="2"/>
  <c r="L15" i="2"/>
  <c r="H16" i="2"/>
  <c r="I16" i="2"/>
  <c r="J16" i="2"/>
  <c r="K16" i="2"/>
  <c r="L16" i="2"/>
  <c r="L2" i="2"/>
  <c r="K2" i="2"/>
  <c r="J2" i="2"/>
  <c r="I2" i="2"/>
  <c r="H2" i="2"/>
  <c r="H3" i="4"/>
  <c r="I3" i="4"/>
  <c r="J3" i="4"/>
  <c r="H4" i="4"/>
  <c r="I4" i="4"/>
  <c r="J4" i="4"/>
  <c r="H5" i="4"/>
  <c r="I5" i="4"/>
  <c r="J5" i="4"/>
  <c r="H6" i="4"/>
  <c r="I6" i="4"/>
  <c r="J6" i="4"/>
  <c r="H7" i="4"/>
  <c r="I7" i="4"/>
  <c r="J7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5" i="4"/>
  <c r="I15" i="4"/>
  <c r="J15" i="4"/>
  <c r="H16" i="4"/>
  <c r="I16" i="4"/>
  <c r="J16" i="4"/>
  <c r="J2" i="4"/>
  <c r="I2" i="4"/>
  <c r="H2" i="4"/>
</calcChain>
</file>

<file path=xl/sharedStrings.xml><?xml version="1.0" encoding="utf-8"?>
<sst xmlns="http://schemas.openxmlformats.org/spreadsheetml/2006/main" count="96" uniqueCount="62">
  <si>
    <t>camelyon16</t>
  </si>
  <si>
    <t>batch</t>
  </si>
  <si>
    <t>epoch</t>
  </si>
  <si>
    <t>test_acc</t>
  </si>
  <si>
    <t>test_auc</t>
  </si>
  <si>
    <t>test_f1</t>
  </si>
  <si>
    <t>alpha</t>
  </si>
  <si>
    <t>temp</t>
  </si>
  <si>
    <t>lr</t>
  </si>
  <si>
    <t>decay</t>
  </si>
  <si>
    <t>camelyon17</t>
  </si>
  <si>
    <t>{'epoch': 14, 'val_acc': 86.66666666666667, 'val_auc': 0.9594380855560303, 'val_f1': 0.6225490570068359, 'test_acc': 78.0, 'test_auc': 0.8001552820205688, 'test_f1': 0.5011639595031738}</t>
  </si>
  <si>
    <t>{'epoch': 4, 'val_acc': 80.0, 'val_auc': 0.9030864238739014, 'val_f1': 0.5966869592666626, 'test_acc': 74.0, 'test_auc': 0.8507570028305054, 'test_f1': 0.44376128911972046}</t>
  </si>
  <si>
    <t>{'epoch': 7, 'val_acc': 80.0, 'val_auc': 0.9329447150230408, 'val_f1': 0.5718749761581421, 'test_acc': 82.0, 'test_auc': 0.860573410987854, 'test_f1': 0.5253989696502686}</t>
  </si>
  <si>
    <t>{'epoch': 11, 'val_acc': 80.0, 'val_auc': 0.913815975189209, 'val_f1': 0.5680524110794067, 'test_acc': 79.5, 'test_auc': 0.8323928713798523, 'test_f1': 0.5086344480514526}</t>
  </si>
  <si>
    <t>{'epoch': 4, 'val_acc': 83.33333333333333, 'val_auc': 0.8790647387504578, 'val_f1': 0.5808823704719543, 'test_acc': 82.0, 'test_auc': 0.8283406496047974, 'test_f1': 0.44001010060310364}</t>
  </si>
  <si>
    <t>{'epoch': 11, 'val_acc': 63.333333841959636, 'val_auc': 0.713770866394043, 'val_f1': 0.34959349036216736, 'test_acc': 80.0, 'test_auc': 0.7447677850723267, 'test_f1': 0.4428156018257141}</t>
  </si>
  <si>
    <t>{'epoch': 19, 'val_acc': 76.66666666666667, 'val_auc': 0.8587397336959839, 'val_f1': 0.5316992998123169, 'test_acc': 79.0, 'test_auc': 0.807629406452179, 'test_f1': 0.5122985243797302}</t>
  </si>
  <si>
    <t>{'epoch': 5, 'val_acc': 80.0, 'val_auc': 0.932142972946167, 'val_f1': 0.5582386255264282, 'test_acc': 84.0, 'test_auc': 0.8802969455718994, 'test_f1': 0.5694234371185303}</t>
  </si>
  <si>
    <t>BRACS</t>
  </si>
  <si>
    <t>{'epoch': 5, 'val_acc': 74.19354838709677, 'val_auc': 0.8826949000358582, 'val_f1': 0.7062937617301941, 'test_acc': 70.93023255813954, 'test_auc': 0.865333080291748, 'test_f1': 0.702112078666687}</t>
  </si>
  <si>
    <t>{'epoch': 5, 'val_acc': 75.80645161290323, 'val_auc': 0.8950085043907166, 'val_f1': 0.6817821264266968, 'test_acc': 73.25581395348837, 'test_auc': 0.8633272647857666, 'test_f1': 0.7020202279090881}</t>
  </si>
  <si>
    <t>{'epoch': 16, 'val_acc': 82.25806451612904, 'val_auc': 0.8672670125961304, 'val_f1': 0.7673932909965515, 'test_acc': 68.6046511627907, 'test_auc': 0.8336443901062012, 'test_f1': 0.6085526347160339}</t>
  </si>
  <si>
    <t>{'epoch': 36, 'val_acc': 75.80645161290323, 'val_auc': 0.827478289604187, 'val_f1': 0.634382963180542, 'test_acc': 54.651162790697676, 'test_auc': 0.7439166903495789, 'test_f1': 0.44858959317207336}</t>
  </si>
  <si>
    <t>{'epoch': 14, 'val_acc': 66.12903275028351, 'val_auc': 0.782953143119812, 'val_f1': 0.4949495196342468, 'test_acc': 55.81395366579987, 'test_auc': 0.733656644821167, 'test_f1': 0.4343101382255554}</t>
  </si>
  <si>
    <t>{'epoch': 24, 'val_acc': 72.58064516129032, 'val_auc': 0.8732818365097046, 'val_f1': 0.6347317099571228, 'test_acc': 61.627906976744185, 'test_auc': 0.7815026044845581, 'test_f1': 0.5258029699325562}</t>
  </si>
  <si>
    <t>{'epoch': 5, 'val_acc': 74.19354838709677, 'val_auc': 0.8833795785903931, 'val_f1': 0.7075861692428589, 'test_acc': 73.25581395348837, 'test_auc': 0.8420037031173706, 'test_f1': 0.706858217716217}</t>
  </si>
  <si>
    <t>{'epoch': 5, 'val_acc': 75.80645161290323, 'val_auc': 0.8983831405639648, 'val_f1': 0.6980990171432495, 'test_acc': 75.5813953488372, 'test_auc': 0.8621966242790222, 'test_f1': 0.7222222685813904}</t>
  </si>
  <si>
    <t>{'epoch': 1, 'val_acc': 96.29629629629629, 'val_auc': 1.0, 'val_f1': 0.9629629254341125, 'test_acc': 93.02325581395348, 'test_auc': 0.9181122779846191, 'test_f1': 0.9243401885032654}</t>
  </si>
  <si>
    <t>{'epoch': 3, 'val_acc': 100.0, 'val_auc': 1.0, 'val_f1': 1.0, 'test_acc': 96.89922480620154, 'test_auc': 0.9918367862701416, 'test_f1': 0.966821014881134}</t>
  </si>
  <si>
    <t>{'epoch': 14, 'val_acc': 74.07407463921442, 'val_auc': 0.7472527027130127, 'val_f1': 0.7349228858947754, 'test_acc': 69.76744186046511, 'test_auc': 0.6096938848495483, 'test_f1': 0.5813431143760681}</t>
  </si>
  <si>
    <t>{'epoch': 17, 'val_acc': 88.88888888888889, 'val_auc': 0.9505494236946106, 'val_f1': 0.8888888955116272, 'test_acc': 80.62015503875969, 'test_auc': 0.8114795684814453, 'test_f1': 0.7750575542449951}</t>
  </si>
  <si>
    <t>{'epoch': 6, 'val_acc': 100.0, 'val_auc': 1.0, 'val_f1': 1.0, 'test_acc': 97.67441860465117, 'test_auc': 0.9765306115150452, 'test_f1': 0.9750080704689026}</t>
  </si>
  <si>
    <t>{'epoch': 11, 'val_acc': 96.29629629629629, 'val_auc': 1.0, 'val_f1': 0.9629629254341125, 'test_acc': 91.47286821705427, 'test_auc': 0.9176020622253418, 'test_f1': 0.9056578874588013}</t>
  </si>
  <si>
    <t>{'epoch': 4, 'val_acc': 96.29629629629629, 'val_auc': 1.0, 'val_f1': 0.9629629254341125, 'test_acc': 93.02325581395348, 'test_auc': 0.9576530456542969, 'test_f1': 0.9256579279899597}</t>
  </si>
  <si>
    <t>{'epoch': 3, 'val_acc': 100.0, 'val_auc': 1.0, 'val_f1': 1.0, 'test_acc': 96.12403100775194, 'test_auc': 0.9747449159622192, 'test_f1': 0.9579668045043945}</t>
  </si>
  <si>
    <t>1 (Baseline)</t>
  </si>
  <si>
    <t>{'epoch': 6, 'val_acc': 74.19354863320628, 'val_auc': 0.8946723937988281, 'val_f1': 0.6946700215339661, 'test_acc': 73.25581395348837, 'test_auc': 0.8624677658081055, 'test_f1': 0.7101714015007019}</t>
  </si>
  <si>
    <t>{'epoch': 33, 'val_acc': 74.19354937153477, 'val_auc': 0.8793327808380127, 'val_f1': 0.6217213869094849, 'test_acc': 60.46511627906977, 'test_auc': 0.7890536189079285, 'test_f1': 0.5149998068809509}</t>
  </si>
  <si>
    <t>{'epoch': 18, 'val_acc': 75.80645259734123, 'val_auc': 0.8798715472221375, 'val_f1': 0.7187165021896362, 'test_acc': 68.6046511627907, 'test_auc': 0.8355591297149658, 'test_f1': 0.6420707702636719}</t>
  </si>
  <si>
    <t>{'epoch': 6, 'val_acc': 77.41935582314768, 'val_auc': 0.8992084860801697, 'val_f1': 0.7226302623748779, 'test_acc': 70.93023255813954, 'test_auc': 0.8556029200553894, 'test_f1': 0.6692827343940735}</t>
  </si>
  <si>
    <t>{'epoch': 21, 'val_acc': 67.74193572998047, 'val_auc': 0.8024872541427612, 'val_f1': 0.503703773021698, 'test_acc': 51.162790875102196, 'test_auc': 0.7282958030700684, 'test_f1': 0.3965686559677124}</t>
  </si>
  <si>
    <t>{'epoch': 16, 'val_acc': 70.96774291992188, 'val_auc': 0.8437067270278931, 'val_f1': 0.5287749767303467, 'test_acc': 56.97674418604651, 'test_auc': 0.7663633823394775, 'test_f1': 0.4406268894672394}</t>
  </si>
  <si>
    <t>{'epoch': 8, 'val_acc': 77.41935582314768, 'val_auc': 0.9005793929100037, 'val_f1': 0.7327017188072205, 'test_acc': 70.93023255813954, 'test_auc': 0.8482331037521362, 'test_f1': 0.6685771942138672}</t>
  </si>
  <si>
    <t>val_acc</t>
  </si>
  <si>
    <t>val_auc</t>
  </si>
  <si>
    <t>val_f1</t>
  </si>
  <si>
    <t>1 (No Contrastive Loss)</t>
  </si>
  <si>
    <t>{'epoch': 16, 'val_acc': 83.33333435058594, 'val_auc': 0.91288161277771, 'val_f1': 0.5902573466300964, 'test_acc': 82.5, 'test_auc': 0.8471184968948364, 'test_f1': 0.5561918616294861}</t>
  </si>
  <si>
    <t>{'epoch': 8, 'val_acc': 73.33333638509114, 'val_auc': 0.9057698249816895, 'val_f1': 0.42145270109176636, 'test_acc': 81.0, 'test_auc': 0.841496467590332, 'test_f1': 0.44245484471321106}</t>
  </si>
  <si>
    <t>{'epoch': 8, 'val_acc': 56.66666844685872, 'val_auc': 0.6984273791313171, 'val_f1': 0.27441859245300293, 'test_acc': 69.0, 'test_auc': 0.682941734790802, 'test_f1': 0.3361099362373352}</t>
  </si>
  <si>
    <t>{'epoch': 4, 'val_acc': 80.0000010172526, 'val_auc': 0.9028622508049011, 'val_f1': 0.5520833730697632, 'test_acc': 82.0, 'test_auc': 0.8608692288398743, 'test_f1': 0.44001010060310364}</t>
  </si>
  <si>
    <t>{'epoch': 11, 'val_acc': 86.66666768391927, 'val_auc': 0.8763155341148376, 'val_f1': 0.6232638955116272, 'test_acc': 82.0, 'test_auc': 0.8290683031082153, 'test_f1': 0.4826953113079071}</t>
  </si>
  <si>
    <t>{'epoch': 16, 'val_acc': 76.66666768391927, 'val_auc': 0.8869753479957581, 'val_f1': 0.5147727131843567, 'test_acc': 82.0, 'test_auc': 0.8259197473526001, 'test_f1': 0.4801071882247925}</t>
  </si>
  <si>
    <t>{'epoch': 5, 'val_acc': 86.66666768391927, 'val_auc': 0.8970669507980347, 'val_f1': 0.6232638955116272, 'test_acc': 81.0, 'test_auc': 0.8501309752464294, 'test_f1': 0.43395721912384033}</t>
  </si>
  <si>
    <t>{'epoch': 4, 'val_acc': 100.0, 'val_auc': 1.0, 'val_f1': 1.0, 'test_acc': 89.14728682170542, 'test_auc': 0.9311224222183228, 'test_f1': 0.8838734030723572}</t>
  </si>
  <si>
    <t>{'epoch': 17, 'val_acc': 88.8888897365994, 'val_auc': 0.9670329093933105, 'val_f1': 0.8888888955116272, 'test_acc': 80.62015503875969, 'test_auc': 0.8022959232330322, 'test_f1': 0.771939754486084}</t>
  </si>
  <si>
    <t>{'epoch': 18, 'val_acc': 70.3703700878002, 'val_auc': 0.6648350954055786, 'val_f1': 0.6931818723678589, 'test_acc': 67.44186046511628, 'test_auc': 0.5357142686843872, 'test_f1': 0.5329310894012451}</t>
  </si>
  <si>
    <t>{'epoch': 7, 'val_acc': 100.0, 'val_auc': 1.0, 'val_f1': 1.0, 'test_acc': 96.12403100775194, 'test_auc': 0.9589285850524902, 'test_f1': 0.9579668045043945}</t>
  </si>
  <si>
    <t>{'epoch': 6, 'val_acc': 96.29629629629629, 'val_auc': 1.0, 'val_f1': 0.9629629254341125, 'test_acc': 93.7984496124031, 'test_auc': 0.9563775658607483, 'test_f1': 0.9336420297622681}</t>
  </si>
  <si>
    <t>{'epoch': 18, 'val_acc': 92.59259457058377, 'val_auc': 0.9945054650306702, 'val_f1': 0.9258241653442383, 'test_acc': 86.04651162790698, 'test_auc': 0.8721938133239746, 'test_f1': 0.8430232405662537}</t>
  </si>
  <si>
    <t>{'epoch': 10, 'val_acc': 100.0, 'val_auc': 1.0, 'val_f1': 1.0, 'test_acc': 92.24806201550388, 'test_auc': 0.9482142925262451, 'test_f1': 0.9177296161651611}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</si>
</sst>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164" fontId="0" fillId="0" borderId="1" xfId="0" applyNumberFormat="1" applyBorder="1"/>
    <xf numFmtId="164" fontId="0" fillId="0" borderId="0" xfId="0" applyNumberFormat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11" xfId="0" applyBorder="1"/>
    <xf numFmtId="0" fontId="0" fillId="0" borderId="12" xfId="0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8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0" xfId="0" applyBorder="1"/>
    <xf numFmtId="0" fontId="0" fillId="0" borderId="4" xfId="0" applyBorder="1"/>
    <xf numFmtId="0" fontId="0" fillId="0" borderId="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164" fontId="0" fillId="0" borderId="20" xfId="0" applyNumberFormat="1" applyBorder="1"/>
    <xf numFmtId="164" fontId="0" fillId="0" borderId="22" xfId="0" applyNumberFormat="1" applyBorder="1"/>
    <xf numFmtId="164" fontId="0" fillId="0" borderId="21" xfId="0" applyNumberFormat="1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18" xfId="0" applyNumberFormat="1" applyBorder="1"/>
    <xf numFmtId="164" fontId="0" fillId="0" borderId="11" xfId="0" applyNumberFormat="1" applyBorder="1"/>
    <xf numFmtId="164" fontId="0" fillId="0" borderId="23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3" xfId="0" applyBorder="1"/>
    <xf numFmtId="164" fontId="0" fillId="0" borderId="25" xfId="0" applyNumberFormat="1" applyBorder="1"/>
    <xf numFmtId="164" fontId="0" fillId="0" borderId="26" xfId="0" applyNumberFormat="1" applyBorder="1"/>
    <xf numFmtId="0" fontId="0" fillId="0" borderId="23" xfId="0" applyBorder="1"/>
    <xf numFmtId="164" fontId="0" fillId="0" borderId="27" xfId="0" applyNumberFormat="1" applyBorder="1"/>
    <xf numFmtId="0" fontId="0" fillId="0" borderId="28" xfId="0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164" fontId="0" fillId="0" borderId="28" xfId="0" applyNumberFormat="1" applyBorder="1"/>
    <xf numFmtId="0" fontId="0" fillId="0" borderId="35" xfId="0" applyBorder="1"/>
    <xf numFmtId="164" fontId="0" fillId="0" borderId="35" xfId="0" applyNumberFormat="1" applyBorder="1"/>
    <xf numFmtId="164" fontId="0" fillId="0" borderId="2" xfId="0" applyNumberFormat="1" applyBorder="1"/>
    <xf numFmtId="164" fontId="0" fillId="0" borderId="36" xfId="0" applyNumberFormat="1" applyBorder="1"/>
    <xf numFmtId="164" fontId="0" fillId="0" borderId="37" xfId="0" applyNumberFormat="1" applyBorder="1"/>
    <xf numFmtId="0" fontId="0" fillId="0" borderId="36" xfId="0" applyBorder="1"/>
    <xf numFmtId="0" fontId="0" fillId="0" borderId="24" xfId="0" applyBorder="1"/>
    <xf numFmtId="0" fontId="0" fillId="0" borderId="43" xfId="0" applyBorder="1"/>
    <xf numFmtId="0" fontId="0" fillId="0" borderId="42" xfId="0" applyBorder="1"/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3195-44F6-4106-BE5E-B38EB1016644}">
  <dimension ref="A1:O16"/>
  <sheetViews>
    <sheetView tabSelected="1" zoomScale="40" zoomScaleNormal="40" workbookViewId="0">
      <selection activeCell="R11" sqref="R11"/>
    </sheetView>
  </sheetViews>
  <sheetFormatPr defaultRowHeight="14.5" x14ac:dyDescent="0.35"/>
  <cols>
    <col min="1" max="1" width="6.36328125" bestFit="1" customWidth="1"/>
    <col min="2" max="3" width="5.81640625" bestFit="1" customWidth="1"/>
    <col min="5" max="5" width="10.36328125" bestFit="1" customWidth="1"/>
    <col min="6" max="6" width="15.54296875" bestFit="1" customWidth="1"/>
    <col min="8" max="13" width="8.7265625" style="2"/>
  </cols>
  <sheetData>
    <row r="1" spans="1:15" ht="15" thickBot="1" x14ac:dyDescent="0.4">
      <c r="A1" s="20"/>
      <c r="B1" s="21" t="s">
        <v>2</v>
      </c>
      <c r="C1" s="21" t="s">
        <v>8</v>
      </c>
      <c r="D1" s="26" t="s">
        <v>9</v>
      </c>
      <c r="E1" s="57" t="s">
        <v>1</v>
      </c>
      <c r="F1" s="20" t="s">
        <v>6</v>
      </c>
      <c r="G1" s="22" t="s">
        <v>7</v>
      </c>
      <c r="H1" s="14" t="s">
        <v>44</v>
      </c>
      <c r="I1" s="15" t="s">
        <v>45</v>
      </c>
      <c r="J1" s="34" t="s">
        <v>46</v>
      </c>
      <c r="K1" s="14" t="s">
        <v>3</v>
      </c>
      <c r="L1" s="15" t="s">
        <v>4</v>
      </c>
      <c r="M1" s="16" t="s">
        <v>5</v>
      </c>
    </row>
    <row r="2" spans="1:15" ht="15" thickBot="1" x14ac:dyDescent="0.4">
      <c r="A2" s="63" t="s">
        <v>19</v>
      </c>
      <c r="B2" s="66">
        <v>50</v>
      </c>
      <c r="C2" s="66">
        <v>1E-3</v>
      </c>
      <c r="D2" s="69">
        <v>5.0000000000000002E-5</v>
      </c>
      <c r="E2" s="55" t="s">
        <v>36</v>
      </c>
      <c r="F2" s="61" t="s">
        <v>36</v>
      </c>
      <c r="G2" s="62"/>
      <c r="H2" s="17">
        <f t="shared" ref="H2:H16" si="0">VALUE(_xlfn.TEXTBEFORE(_xlfn.TEXTAFTER(O2, "'val_acc': "), ","))</f>
        <v>74.193548387096698</v>
      </c>
      <c r="I2" s="10">
        <f t="shared" ref="I2:I16" si="1">VALUE(_xlfn.TEXTBEFORE(_xlfn.TEXTAFTER(O2, "'val_auc': "), ","))</f>
        <v>0.88269490003585804</v>
      </c>
      <c r="J2" s="35">
        <f t="shared" ref="J2:J16" si="2">VALUE(_xlfn.TEXTBEFORE(_xlfn.TEXTAFTER(O2, "'val_f1': "), ","))</f>
        <v>0.70629376173019398</v>
      </c>
      <c r="K2" s="17">
        <v>70.930232558139494</v>
      </c>
      <c r="L2" s="10">
        <v>0.86533308029174805</v>
      </c>
      <c r="M2" s="11">
        <v>0.70211207866668701</v>
      </c>
      <c r="O2" t="s">
        <v>20</v>
      </c>
    </row>
    <row r="3" spans="1:15" ht="15" thickBot="1" x14ac:dyDescent="0.4">
      <c r="A3" s="64"/>
      <c r="B3" s="67"/>
      <c r="C3" s="67"/>
      <c r="D3" s="70"/>
      <c r="E3" s="58">
        <v>8</v>
      </c>
      <c r="F3" s="32" t="s">
        <v>47</v>
      </c>
      <c r="G3" s="33"/>
      <c r="H3" s="17">
        <f t="shared" si="0"/>
        <v>75.806451612903203</v>
      </c>
      <c r="I3" s="10">
        <f t="shared" si="1"/>
        <v>0.895008504390716</v>
      </c>
      <c r="J3" s="35">
        <f t="shared" si="2"/>
        <v>0.681782126426696</v>
      </c>
      <c r="K3" s="17">
        <v>73.2558139534883</v>
      </c>
      <c r="L3" s="10">
        <v>0.86332726478576605</v>
      </c>
      <c r="M3" s="11">
        <v>0.70202022790908802</v>
      </c>
      <c r="O3" t="s">
        <v>21</v>
      </c>
    </row>
    <row r="4" spans="1:15" x14ac:dyDescent="0.35">
      <c r="A4" s="64"/>
      <c r="B4" s="67"/>
      <c r="C4" s="67"/>
      <c r="D4" s="70"/>
      <c r="E4" s="59"/>
      <c r="F4" s="27">
        <v>0.9</v>
      </c>
      <c r="G4" s="28">
        <v>0.3</v>
      </c>
      <c r="H4" s="29">
        <f t="shared" si="0"/>
        <v>75.806451612903203</v>
      </c>
      <c r="I4" s="30">
        <f t="shared" si="1"/>
        <v>0.89838314056396396</v>
      </c>
      <c r="J4" s="36">
        <f t="shared" si="2"/>
        <v>0.69809901714324896</v>
      </c>
      <c r="K4" s="29">
        <v>75.581395348837205</v>
      </c>
      <c r="L4" s="30">
        <v>0.86219662427902199</v>
      </c>
      <c r="M4" s="31">
        <v>0.72222226858139005</v>
      </c>
      <c r="O4" t="s">
        <v>27</v>
      </c>
    </row>
    <row r="5" spans="1:15" x14ac:dyDescent="0.35">
      <c r="A5" s="64"/>
      <c r="B5" s="67"/>
      <c r="C5" s="67"/>
      <c r="D5" s="70"/>
      <c r="E5" s="59"/>
      <c r="F5" s="3">
        <v>0.7</v>
      </c>
      <c r="G5" s="24">
        <v>0.3</v>
      </c>
      <c r="H5" s="18">
        <f t="shared" si="0"/>
        <v>74.193548387096698</v>
      </c>
      <c r="I5" s="1">
        <f t="shared" si="1"/>
        <v>0.88337957859039296</v>
      </c>
      <c r="J5" s="37">
        <f t="shared" si="2"/>
        <v>0.707586169242858</v>
      </c>
      <c r="K5" s="18">
        <v>73.2558139534883</v>
      </c>
      <c r="L5" s="1">
        <v>0.84200370311737005</v>
      </c>
      <c r="M5" s="4">
        <v>0.70685821771621704</v>
      </c>
      <c r="O5" t="s">
        <v>26</v>
      </c>
    </row>
    <row r="6" spans="1:15" x14ac:dyDescent="0.35">
      <c r="A6" s="64"/>
      <c r="B6" s="67"/>
      <c r="C6" s="67"/>
      <c r="D6" s="70"/>
      <c r="E6" s="59"/>
      <c r="F6" s="3">
        <v>0.5</v>
      </c>
      <c r="G6" s="24">
        <v>0.3</v>
      </c>
      <c r="H6" s="18">
        <f t="shared" si="0"/>
        <v>72.580645161290306</v>
      </c>
      <c r="I6" s="1">
        <f t="shared" si="1"/>
        <v>0.87328183650970403</v>
      </c>
      <c r="J6" s="37">
        <f t="shared" si="2"/>
        <v>0.63473170995712203</v>
      </c>
      <c r="K6" s="18">
        <v>61.6279069767441</v>
      </c>
      <c r="L6" s="1">
        <v>0.78150260448455799</v>
      </c>
      <c r="M6" s="4">
        <v>0.52580296993255604</v>
      </c>
      <c r="O6" t="s">
        <v>25</v>
      </c>
    </row>
    <row r="7" spans="1:15" x14ac:dyDescent="0.35">
      <c r="A7" s="64"/>
      <c r="B7" s="67"/>
      <c r="C7" s="67"/>
      <c r="D7" s="70"/>
      <c r="E7" s="59"/>
      <c r="F7" s="3">
        <v>0.9</v>
      </c>
      <c r="G7" s="24">
        <v>0.1</v>
      </c>
      <c r="H7" s="18">
        <f t="shared" si="0"/>
        <v>82.258064516128997</v>
      </c>
      <c r="I7" s="1">
        <f t="shared" si="1"/>
        <v>0.86726701259613004</v>
      </c>
      <c r="J7" s="37">
        <f t="shared" si="2"/>
        <v>0.76739329099655096</v>
      </c>
      <c r="K7" s="18">
        <v>68.604651162790702</v>
      </c>
      <c r="L7" s="1">
        <v>0.83364439010620095</v>
      </c>
      <c r="M7" s="4">
        <v>0.60855263471603305</v>
      </c>
      <c r="O7" t="s">
        <v>22</v>
      </c>
    </row>
    <row r="8" spans="1:15" x14ac:dyDescent="0.35">
      <c r="A8" s="64"/>
      <c r="B8" s="67"/>
      <c r="C8" s="67"/>
      <c r="D8" s="70"/>
      <c r="E8" s="59"/>
      <c r="F8" s="3">
        <v>0.7</v>
      </c>
      <c r="G8" s="24">
        <v>0.1</v>
      </c>
      <c r="H8" s="18">
        <f t="shared" si="0"/>
        <v>75.806451612903203</v>
      </c>
      <c r="I8" s="1">
        <f t="shared" si="1"/>
        <v>0.82747828960418701</v>
      </c>
      <c r="J8" s="37">
        <f t="shared" si="2"/>
        <v>0.63438296318054199</v>
      </c>
      <c r="K8" s="18">
        <v>54.651162790697597</v>
      </c>
      <c r="L8" s="1">
        <v>0.74391669034957797</v>
      </c>
      <c r="M8" s="4">
        <v>0.44858959317207298</v>
      </c>
      <c r="O8" t="s">
        <v>23</v>
      </c>
    </row>
    <row r="9" spans="1:15" ht="15" thickBot="1" x14ac:dyDescent="0.4">
      <c r="A9" s="64"/>
      <c r="B9" s="67"/>
      <c r="C9" s="67"/>
      <c r="D9" s="70"/>
      <c r="E9" s="60"/>
      <c r="F9" s="5">
        <v>0.5</v>
      </c>
      <c r="G9" s="25">
        <v>0.1</v>
      </c>
      <c r="H9" s="19">
        <f t="shared" si="0"/>
        <v>66.1290327502835</v>
      </c>
      <c r="I9" s="6">
        <f t="shared" si="1"/>
        <v>0.78295314311981201</v>
      </c>
      <c r="J9" s="38">
        <f t="shared" si="2"/>
        <v>0.49494951963424599</v>
      </c>
      <c r="K9" s="19">
        <v>55.813953665799801</v>
      </c>
      <c r="L9" s="6">
        <v>0.73365664482116699</v>
      </c>
      <c r="M9" s="7">
        <v>0.43431013822555498</v>
      </c>
      <c r="O9" t="s">
        <v>24</v>
      </c>
    </row>
    <row r="10" spans="1:15" ht="15" thickBot="1" x14ac:dyDescent="0.4">
      <c r="A10" s="64"/>
      <c r="B10" s="67"/>
      <c r="C10" s="67"/>
      <c r="D10" s="70"/>
      <c r="E10" s="58">
        <v>16</v>
      </c>
      <c r="F10" s="8" t="s">
        <v>47</v>
      </c>
      <c r="G10" s="23"/>
      <c r="H10" s="17">
        <f t="shared" si="0"/>
        <v>74.193548633206206</v>
      </c>
      <c r="I10" s="10">
        <f t="shared" si="1"/>
        <v>0.89467239379882801</v>
      </c>
      <c r="J10" s="35">
        <f t="shared" si="2"/>
        <v>0.69467002153396595</v>
      </c>
      <c r="K10" s="17">
        <v>73.2558139534883</v>
      </c>
      <c r="L10" s="10">
        <v>0.86246776580810502</v>
      </c>
      <c r="M10" s="11">
        <v>0.71017140150070102</v>
      </c>
      <c r="O10" t="s">
        <v>37</v>
      </c>
    </row>
    <row r="11" spans="1:15" x14ac:dyDescent="0.35">
      <c r="A11" s="64"/>
      <c r="B11" s="67"/>
      <c r="C11" s="67"/>
      <c r="D11" s="70"/>
      <c r="E11" s="59"/>
      <c r="F11" s="27">
        <v>0.9</v>
      </c>
      <c r="G11" s="28">
        <v>0.3</v>
      </c>
      <c r="H11" s="29">
        <f t="shared" si="0"/>
        <v>77.419355823147598</v>
      </c>
      <c r="I11" s="30">
        <f t="shared" si="1"/>
        <v>0.89920848608016901</v>
      </c>
      <c r="J11" s="36">
        <f t="shared" si="2"/>
        <v>0.72263026237487704</v>
      </c>
      <c r="K11" s="29">
        <v>70.930232558139494</v>
      </c>
      <c r="L11" s="30">
        <v>0.85560292005538896</v>
      </c>
      <c r="M11" s="31">
        <v>0.66928273439407304</v>
      </c>
      <c r="O11" t="s">
        <v>40</v>
      </c>
    </row>
    <row r="12" spans="1:15" x14ac:dyDescent="0.35">
      <c r="A12" s="64"/>
      <c r="B12" s="67"/>
      <c r="C12" s="67"/>
      <c r="D12" s="70"/>
      <c r="E12" s="59"/>
      <c r="F12" s="3">
        <v>0.7</v>
      </c>
      <c r="G12" s="24">
        <v>0.3</v>
      </c>
      <c r="H12" s="18">
        <f t="shared" si="0"/>
        <v>75.806452597341206</v>
      </c>
      <c r="I12" s="1">
        <f t="shared" si="1"/>
        <v>0.87987154722213701</v>
      </c>
      <c r="J12" s="37">
        <f t="shared" si="2"/>
        <v>0.71871650218963601</v>
      </c>
      <c r="K12" s="18">
        <v>68.604651162790702</v>
      </c>
      <c r="L12" s="1">
        <v>0.83555912971496504</v>
      </c>
      <c r="M12" s="4">
        <v>0.64207077026367099</v>
      </c>
      <c r="O12" t="s">
        <v>39</v>
      </c>
    </row>
    <row r="13" spans="1:15" x14ac:dyDescent="0.35">
      <c r="A13" s="64"/>
      <c r="B13" s="67"/>
      <c r="C13" s="67"/>
      <c r="D13" s="70"/>
      <c r="E13" s="59"/>
      <c r="F13" s="3">
        <v>0.5</v>
      </c>
      <c r="G13" s="24">
        <v>0.3</v>
      </c>
      <c r="H13" s="18">
        <f t="shared" si="0"/>
        <v>74.193549371534701</v>
      </c>
      <c r="I13" s="1">
        <f t="shared" si="1"/>
        <v>0.87933278083801203</v>
      </c>
      <c r="J13" s="37">
        <f t="shared" si="2"/>
        <v>0.62172138690948398</v>
      </c>
      <c r="K13" s="18">
        <v>60.465116279069697</v>
      </c>
      <c r="L13" s="1">
        <v>0.78905361890792802</v>
      </c>
      <c r="M13" s="4">
        <v>0.51499980688095004</v>
      </c>
      <c r="O13" t="s">
        <v>38</v>
      </c>
    </row>
    <row r="14" spans="1:15" x14ac:dyDescent="0.35">
      <c r="A14" s="64"/>
      <c r="B14" s="67"/>
      <c r="C14" s="67"/>
      <c r="D14" s="70"/>
      <c r="E14" s="59"/>
      <c r="F14" s="3">
        <v>0.9</v>
      </c>
      <c r="G14" s="24">
        <v>0.1</v>
      </c>
      <c r="H14" s="18">
        <f t="shared" si="0"/>
        <v>77.419355823147598</v>
      </c>
      <c r="I14" s="1">
        <f t="shared" si="1"/>
        <v>0.900579392910003</v>
      </c>
      <c r="J14" s="37">
        <f t="shared" si="2"/>
        <v>0.73270171880722001</v>
      </c>
      <c r="K14" s="18">
        <v>70.930232558139494</v>
      </c>
      <c r="L14" s="1">
        <v>0.84823310375213601</v>
      </c>
      <c r="M14" s="4">
        <v>0.66857719421386697</v>
      </c>
      <c r="O14" t="s">
        <v>43</v>
      </c>
    </row>
    <row r="15" spans="1:15" x14ac:dyDescent="0.35">
      <c r="A15" s="64"/>
      <c r="B15" s="67"/>
      <c r="C15" s="67"/>
      <c r="D15" s="70"/>
      <c r="E15" s="59"/>
      <c r="F15" s="3">
        <v>0.7</v>
      </c>
      <c r="G15" s="24">
        <v>0.1</v>
      </c>
      <c r="H15" s="18">
        <f t="shared" si="0"/>
        <v>70.967742919921804</v>
      </c>
      <c r="I15" s="1">
        <f t="shared" si="1"/>
        <v>0.84370672702789296</v>
      </c>
      <c r="J15" s="37">
        <f t="shared" si="2"/>
        <v>0.52877497673034601</v>
      </c>
      <c r="K15" s="18">
        <v>56.976744186046503</v>
      </c>
      <c r="L15" s="1">
        <v>0.76636338233947698</v>
      </c>
      <c r="M15" s="4">
        <v>0.44062688946723899</v>
      </c>
      <c r="O15" t="s">
        <v>42</v>
      </c>
    </row>
    <row r="16" spans="1:15" ht="15" thickBot="1" x14ac:dyDescent="0.4">
      <c r="A16" s="65"/>
      <c r="B16" s="68"/>
      <c r="C16" s="68"/>
      <c r="D16" s="71"/>
      <c r="E16" s="60"/>
      <c r="F16" s="5">
        <v>0.5</v>
      </c>
      <c r="G16" s="25">
        <v>0.1</v>
      </c>
      <c r="H16" s="19">
        <f t="shared" si="0"/>
        <v>67.741935729980398</v>
      </c>
      <c r="I16" s="6">
        <f t="shared" si="1"/>
        <v>0.80248725414276101</v>
      </c>
      <c r="J16" s="38">
        <f t="shared" si="2"/>
        <v>0.503703773021698</v>
      </c>
      <c r="K16" s="19">
        <v>51.162790875102097</v>
      </c>
      <c r="L16" s="6">
        <v>0.72829580307006803</v>
      </c>
      <c r="M16" s="7">
        <v>0.39656865596771201</v>
      </c>
      <c r="O16" t="s">
        <v>41</v>
      </c>
    </row>
  </sheetData>
  <mergeCells count="7">
    <mergeCell ref="E3:E9"/>
    <mergeCell ref="E10:E16"/>
    <mergeCell ref="F2:G2"/>
    <mergeCell ref="A2:A16"/>
    <mergeCell ref="B2:B16"/>
    <mergeCell ref="C2:C16"/>
    <mergeCell ref="D2:D16"/>
  </mergeCells>
  <conditionalFormatting sqref="H2:H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8ED1-5039-4752-BFF0-9DDF44DD491B}">
  <dimension ref="A1:O16"/>
  <sheetViews>
    <sheetView zoomScale="25" zoomScaleNormal="25" workbookViewId="0">
      <selection activeCell="G18" sqref="G18"/>
    </sheetView>
  </sheetViews>
  <sheetFormatPr defaultRowHeight="14.5" x14ac:dyDescent="0.35"/>
  <cols>
    <col min="1" max="1" width="10.6328125" bestFit="1" customWidth="1"/>
    <col min="2" max="3" width="5.81640625" bestFit="1" customWidth="1"/>
    <col min="4" max="4" width="7.81640625" bestFit="1" customWidth="1"/>
    <col min="5" max="5" width="10.36328125" bestFit="1" customWidth="1"/>
    <col min="7" max="7" width="10.81640625" customWidth="1"/>
  </cols>
  <sheetData>
    <row r="1" spans="1:15" ht="15" thickBot="1" x14ac:dyDescent="0.4">
      <c r="A1" s="8"/>
      <c r="B1" s="9" t="s">
        <v>2</v>
      </c>
      <c r="C1" s="9" t="s">
        <v>8</v>
      </c>
      <c r="D1" s="12" t="s">
        <v>9</v>
      </c>
      <c r="E1" s="55" t="s">
        <v>1</v>
      </c>
      <c r="F1" s="8" t="s">
        <v>6</v>
      </c>
      <c r="G1" s="9" t="s">
        <v>7</v>
      </c>
      <c r="H1" s="9" t="s">
        <v>44</v>
      </c>
      <c r="I1" s="9" t="s">
        <v>45</v>
      </c>
      <c r="J1" s="23" t="s">
        <v>46</v>
      </c>
      <c r="K1" s="44" t="s">
        <v>3</v>
      </c>
      <c r="L1" s="9" t="s">
        <v>4</v>
      </c>
      <c r="M1" s="23" t="s">
        <v>5</v>
      </c>
    </row>
    <row r="2" spans="1:15" ht="15" thickBot="1" x14ac:dyDescent="0.4">
      <c r="A2" s="63" t="s">
        <v>10</v>
      </c>
      <c r="B2" s="66">
        <v>30</v>
      </c>
      <c r="C2" s="66">
        <v>1E-3</v>
      </c>
      <c r="D2" s="75">
        <v>5.0000000000000002E-5</v>
      </c>
      <c r="E2" s="56" t="s">
        <v>36</v>
      </c>
      <c r="F2" s="73" t="s">
        <v>36</v>
      </c>
      <c r="G2" s="74"/>
      <c r="H2" s="45">
        <f>VALUE(_xlfn.TEXTBEFORE(_xlfn.TEXTAFTER(O2, "'val_acc': "), ","))</f>
        <v>86.6666666666666</v>
      </c>
      <c r="I2" s="45">
        <f>VALUE(_xlfn.TEXTBEFORE(_xlfn.TEXTAFTER(O2, "'val_auc': "), ","))</f>
        <v>0.95943808555603005</v>
      </c>
      <c r="J2" s="46">
        <f>VALUE(_xlfn.TEXTBEFORE(_xlfn.TEXTAFTER(O2, "'val_f1': "), ","))</f>
        <v>0.62254905700683505</v>
      </c>
      <c r="K2" s="47">
        <f>VALUE(_xlfn.TEXTBEFORE(_xlfn.TEXTAFTER(O2, "'test_acc': "), ","))</f>
        <v>78</v>
      </c>
      <c r="L2" s="45">
        <f>VALUE(_xlfn.TEXTBEFORE(_xlfn.TEXTAFTER(O2, "'test_auc': "), ","))</f>
        <v>0.80015528202056796</v>
      </c>
      <c r="M2" s="46">
        <v>0.50116395950317305</v>
      </c>
      <c r="O2" t="s">
        <v>11</v>
      </c>
    </row>
    <row r="3" spans="1:15" ht="15" thickBot="1" x14ac:dyDescent="0.4">
      <c r="A3" s="64"/>
      <c r="B3" s="67"/>
      <c r="C3" s="67"/>
      <c r="D3" s="76"/>
      <c r="E3" s="58">
        <v>8</v>
      </c>
      <c r="F3" s="32" t="s">
        <v>47</v>
      </c>
      <c r="G3" s="12"/>
      <c r="H3" s="10">
        <f t="shared" ref="H3:H16" si="0">VALUE(_xlfn.TEXTBEFORE(_xlfn.TEXTAFTER(O3, "'val_acc': "), ","))</f>
        <v>80</v>
      </c>
      <c r="I3" s="10">
        <f t="shared" ref="I3:I16" si="1">VALUE(_xlfn.TEXTBEFORE(_xlfn.TEXTAFTER(O3, "'val_auc': "), ","))</f>
        <v>0.90308642387390103</v>
      </c>
      <c r="J3" s="11">
        <f t="shared" ref="J3:J16" si="2">VALUE(_xlfn.TEXTBEFORE(_xlfn.TEXTAFTER(O3, "'val_f1': "), ","))</f>
        <v>0.59668695926666204</v>
      </c>
      <c r="K3" s="48">
        <f t="shared" ref="K3:K16" si="3">VALUE(_xlfn.TEXTBEFORE(_xlfn.TEXTAFTER(O3, "'test_acc': "), ","))</f>
        <v>74</v>
      </c>
      <c r="L3" s="10">
        <f t="shared" ref="L3:L16" si="4">VALUE(_xlfn.TEXTBEFORE(_xlfn.TEXTAFTER(O3, "'test_auc': "), ","))</f>
        <v>0.85075700283050504</v>
      </c>
      <c r="M3" s="11">
        <v>0.44376128911972001</v>
      </c>
      <c r="O3" t="s">
        <v>12</v>
      </c>
    </row>
    <row r="4" spans="1:15" x14ac:dyDescent="0.35">
      <c r="A4" s="64"/>
      <c r="B4" s="67"/>
      <c r="C4" s="67"/>
      <c r="D4" s="76"/>
      <c r="E4" s="59"/>
      <c r="F4" s="27">
        <v>0.9</v>
      </c>
      <c r="G4" s="42">
        <v>0.3</v>
      </c>
      <c r="H4" s="30">
        <f t="shared" si="0"/>
        <v>80</v>
      </c>
      <c r="I4" s="30">
        <f t="shared" si="1"/>
        <v>0.93294471502303999</v>
      </c>
      <c r="J4" s="31">
        <f t="shared" si="2"/>
        <v>0.57187497615814198</v>
      </c>
      <c r="K4" s="43">
        <f t="shared" si="3"/>
        <v>82</v>
      </c>
      <c r="L4" s="30">
        <f t="shared" si="4"/>
        <v>0.860573410987854</v>
      </c>
      <c r="M4" s="31">
        <v>0.525398969650268</v>
      </c>
      <c r="O4" t="s">
        <v>13</v>
      </c>
    </row>
    <row r="5" spans="1:15" x14ac:dyDescent="0.35">
      <c r="A5" s="64"/>
      <c r="B5" s="67"/>
      <c r="C5" s="67"/>
      <c r="D5" s="76"/>
      <c r="E5" s="59"/>
      <c r="F5" s="3">
        <v>0.7</v>
      </c>
      <c r="G5" s="13">
        <v>0.3</v>
      </c>
      <c r="H5" s="1">
        <f t="shared" si="0"/>
        <v>80</v>
      </c>
      <c r="I5" s="1">
        <f t="shared" si="1"/>
        <v>0.91381597518920898</v>
      </c>
      <c r="J5" s="4">
        <f t="shared" si="2"/>
        <v>0.56805241107940596</v>
      </c>
      <c r="K5" s="40">
        <f t="shared" si="3"/>
        <v>79.5</v>
      </c>
      <c r="L5" s="1">
        <f t="shared" si="4"/>
        <v>0.83239287137985196</v>
      </c>
      <c r="M5" s="4">
        <v>0.50863444805145197</v>
      </c>
      <c r="O5" t="s">
        <v>14</v>
      </c>
    </row>
    <row r="6" spans="1:15" x14ac:dyDescent="0.35">
      <c r="A6" s="64"/>
      <c r="B6" s="67"/>
      <c r="C6" s="67"/>
      <c r="D6" s="76"/>
      <c r="E6" s="59"/>
      <c r="F6" s="3">
        <v>0.5</v>
      </c>
      <c r="G6" s="13">
        <v>0.3</v>
      </c>
      <c r="H6" s="1">
        <f t="shared" si="0"/>
        <v>83.3333333333333</v>
      </c>
      <c r="I6" s="1">
        <f t="shared" si="1"/>
        <v>0.87906473875045699</v>
      </c>
      <c r="J6" s="4">
        <f t="shared" si="2"/>
        <v>0.58088237047195401</v>
      </c>
      <c r="K6" s="40">
        <f t="shared" si="3"/>
        <v>82</v>
      </c>
      <c r="L6" s="1">
        <f t="shared" si="4"/>
        <v>0.82834064960479703</v>
      </c>
      <c r="M6" s="4">
        <v>0.44001010060310303</v>
      </c>
      <c r="O6" t="s">
        <v>15</v>
      </c>
    </row>
    <row r="7" spans="1:15" x14ac:dyDescent="0.35">
      <c r="A7" s="64"/>
      <c r="B7" s="67"/>
      <c r="C7" s="67"/>
      <c r="D7" s="76"/>
      <c r="E7" s="59"/>
      <c r="F7" s="3">
        <v>0.9</v>
      </c>
      <c r="G7" s="13">
        <v>0.1</v>
      </c>
      <c r="H7" s="1">
        <f t="shared" si="0"/>
        <v>80</v>
      </c>
      <c r="I7" s="1">
        <f t="shared" si="1"/>
        <v>0.93214297294616699</v>
      </c>
      <c r="J7" s="4">
        <f t="shared" si="2"/>
        <v>0.558238625526428</v>
      </c>
      <c r="K7" s="40">
        <f t="shared" si="3"/>
        <v>84</v>
      </c>
      <c r="L7" s="1">
        <f t="shared" si="4"/>
        <v>0.88029694557189897</v>
      </c>
      <c r="M7" s="4">
        <v>0.56942343711853005</v>
      </c>
      <c r="O7" t="s">
        <v>18</v>
      </c>
    </row>
    <row r="8" spans="1:15" x14ac:dyDescent="0.35">
      <c r="A8" s="64"/>
      <c r="B8" s="67"/>
      <c r="C8" s="67"/>
      <c r="D8" s="76"/>
      <c r="E8" s="59"/>
      <c r="F8" s="3">
        <v>0.7</v>
      </c>
      <c r="G8" s="13">
        <v>0.1</v>
      </c>
      <c r="H8" s="1">
        <f t="shared" si="0"/>
        <v>76.6666666666666</v>
      </c>
      <c r="I8" s="1">
        <f t="shared" si="1"/>
        <v>0.858739733695983</v>
      </c>
      <c r="J8" s="4">
        <f t="shared" si="2"/>
        <v>0.53169929981231601</v>
      </c>
      <c r="K8" s="40">
        <f t="shared" si="3"/>
        <v>79</v>
      </c>
      <c r="L8" s="1">
        <f t="shared" si="4"/>
        <v>0.80762940645217896</v>
      </c>
      <c r="M8" s="4">
        <v>0.51229852437973</v>
      </c>
      <c r="O8" t="s">
        <v>17</v>
      </c>
    </row>
    <row r="9" spans="1:15" ht="15" thickBot="1" x14ac:dyDescent="0.4">
      <c r="A9" s="64"/>
      <c r="B9" s="67"/>
      <c r="C9" s="67"/>
      <c r="D9" s="76"/>
      <c r="E9" s="60"/>
      <c r="F9" s="5">
        <v>0.5</v>
      </c>
      <c r="G9" s="39">
        <v>0.1</v>
      </c>
      <c r="H9" s="6">
        <f t="shared" si="0"/>
        <v>63.3333338419596</v>
      </c>
      <c r="I9" s="6">
        <f t="shared" si="1"/>
        <v>0.71377086639404297</v>
      </c>
      <c r="J9" s="7">
        <f t="shared" si="2"/>
        <v>0.34959349036216703</v>
      </c>
      <c r="K9" s="41">
        <f t="shared" si="3"/>
        <v>80</v>
      </c>
      <c r="L9" s="6">
        <f t="shared" si="4"/>
        <v>0.74476778507232599</v>
      </c>
      <c r="M9" s="7">
        <v>0.442815601825714</v>
      </c>
      <c r="O9" t="s">
        <v>16</v>
      </c>
    </row>
    <row r="10" spans="1:15" ht="15" thickBot="1" x14ac:dyDescent="0.4">
      <c r="A10" s="64"/>
      <c r="B10" s="67"/>
      <c r="C10" s="67"/>
      <c r="D10" s="76"/>
      <c r="E10" s="72">
        <v>16</v>
      </c>
      <c r="F10" s="32" t="s">
        <v>47</v>
      </c>
      <c r="G10" s="12"/>
      <c r="H10" s="10">
        <f t="shared" si="0"/>
        <v>86.666667683919201</v>
      </c>
      <c r="I10" s="10">
        <f t="shared" si="1"/>
        <v>0.897066950798034</v>
      </c>
      <c r="J10" s="11">
        <f t="shared" si="2"/>
        <v>0.62326389551162698</v>
      </c>
      <c r="K10" s="48">
        <f t="shared" si="3"/>
        <v>81</v>
      </c>
      <c r="L10" s="10">
        <f t="shared" si="4"/>
        <v>0.850130975246429</v>
      </c>
      <c r="M10" s="11">
        <v>0.43395721912384</v>
      </c>
      <c r="O10" t="s">
        <v>54</v>
      </c>
    </row>
    <row r="11" spans="1:15" x14ac:dyDescent="0.35">
      <c r="A11" s="64"/>
      <c r="B11" s="67"/>
      <c r="C11" s="67"/>
      <c r="D11" s="76"/>
      <c r="E11" s="59"/>
      <c r="F11" s="27">
        <v>0.9</v>
      </c>
      <c r="G11" s="42">
        <v>0.3</v>
      </c>
      <c r="H11" s="30">
        <f t="shared" si="0"/>
        <v>80.0000010172526</v>
      </c>
      <c r="I11" s="30">
        <f t="shared" si="1"/>
        <v>0.90286225080490101</v>
      </c>
      <c r="J11" s="31">
        <f t="shared" si="2"/>
        <v>0.55208337306976296</v>
      </c>
      <c r="K11" s="43">
        <f t="shared" si="3"/>
        <v>82</v>
      </c>
      <c r="L11" s="30">
        <f t="shared" si="4"/>
        <v>0.86086922883987405</v>
      </c>
      <c r="M11" s="31">
        <v>0.44001010060310303</v>
      </c>
      <c r="O11" t="s">
        <v>51</v>
      </c>
    </row>
    <row r="12" spans="1:15" x14ac:dyDescent="0.35">
      <c r="A12" s="64"/>
      <c r="B12" s="67"/>
      <c r="C12" s="67"/>
      <c r="D12" s="76"/>
      <c r="E12" s="59"/>
      <c r="F12" s="3">
        <v>0.7</v>
      </c>
      <c r="G12" s="13">
        <v>0.3</v>
      </c>
      <c r="H12" s="1">
        <f t="shared" si="0"/>
        <v>86.666667683919201</v>
      </c>
      <c r="I12" s="1">
        <f t="shared" si="1"/>
        <v>0.87631553411483698</v>
      </c>
      <c r="J12" s="4">
        <f t="shared" si="2"/>
        <v>0.62326389551162698</v>
      </c>
      <c r="K12" s="40">
        <f t="shared" si="3"/>
        <v>82</v>
      </c>
      <c r="L12" s="1">
        <f t="shared" si="4"/>
        <v>0.829068303108215</v>
      </c>
      <c r="M12" s="4">
        <v>0.48269531130790699</v>
      </c>
      <c r="O12" t="s">
        <v>52</v>
      </c>
    </row>
    <row r="13" spans="1:15" x14ac:dyDescent="0.35">
      <c r="A13" s="64"/>
      <c r="B13" s="67"/>
      <c r="C13" s="67"/>
      <c r="D13" s="76"/>
      <c r="E13" s="59"/>
      <c r="F13" s="3">
        <v>0.5</v>
      </c>
      <c r="G13" s="13">
        <v>0.3</v>
      </c>
      <c r="H13" s="1">
        <f t="shared" si="0"/>
        <v>76.666667683919201</v>
      </c>
      <c r="I13" s="1">
        <f t="shared" si="1"/>
        <v>0.88697534799575795</v>
      </c>
      <c r="J13" s="4">
        <f t="shared" si="2"/>
        <v>0.51477271318435602</v>
      </c>
      <c r="K13" s="40">
        <f t="shared" si="3"/>
        <v>82</v>
      </c>
      <c r="L13" s="1">
        <f t="shared" si="4"/>
        <v>0.82591974735259999</v>
      </c>
      <c r="M13" s="4">
        <v>0.48010718822479198</v>
      </c>
      <c r="O13" t="s">
        <v>53</v>
      </c>
    </row>
    <row r="14" spans="1:15" x14ac:dyDescent="0.35">
      <c r="A14" s="64"/>
      <c r="B14" s="67"/>
      <c r="C14" s="67"/>
      <c r="D14" s="76"/>
      <c r="E14" s="59"/>
      <c r="F14" s="3">
        <v>0.9</v>
      </c>
      <c r="G14" s="13">
        <v>0.1</v>
      </c>
      <c r="H14" s="1">
        <f t="shared" si="0"/>
        <v>83.333334350585901</v>
      </c>
      <c r="I14" s="1">
        <f t="shared" si="1"/>
        <v>0.91288161277770996</v>
      </c>
      <c r="J14" s="4">
        <f t="shared" si="2"/>
        <v>0.59025734663009599</v>
      </c>
      <c r="K14" s="40">
        <f t="shared" si="3"/>
        <v>82.5</v>
      </c>
      <c r="L14" s="1">
        <f t="shared" si="4"/>
        <v>0.84711849689483598</v>
      </c>
      <c r="M14" s="4">
        <v>0.55619186162948597</v>
      </c>
      <c r="O14" t="s">
        <v>48</v>
      </c>
    </row>
    <row r="15" spans="1:15" x14ac:dyDescent="0.35">
      <c r="A15" s="64"/>
      <c r="B15" s="67"/>
      <c r="C15" s="67"/>
      <c r="D15" s="76"/>
      <c r="E15" s="59"/>
      <c r="F15" s="3">
        <v>0.7</v>
      </c>
      <c r="G15" s="13">
        <v>0.1</v>
      </c>
      <c r="H15" s="1">
        <f t="shared" si="0"/>
        <v>73.333336385091101</v>
      </c>
      <c r="I15" s="1">
        <f t="shared" si="1"/>
        <v>0.90576982498168901</v>
      </c>
      <c r="J15" s="4">
        <f t="shared" si="2"/>
        <v>0.42145270109176602</v>
      </c>
      <c r="K15" s="40">
        <f t="shared" si="3"/>
        <v>81</v>
      </c>
      <c r="L15" s="1">
        <f t="shared" si="4"/>
        <v>0.84149646759033203</v>
      </c>
      <c r="M15" s="4">
        <v>0.442454844713211</v>
      </c>
      <c r="O15" t="s">
        <v>49</v>
      </c>
    </row>
    <row r="16" spans="1:15" ht="15" thickBot="1" x14ac:dyDescent="0.4">
      <c r="A16" s="65"/>
      <c r="B16" s="68"/>
      <c r="C16" s="68"/>
      <c r="D16" s="77"/>
      <c r="E16" s="60"/>
      <c r="F16" s="5">
        <v>0.5</v>
      </c>
      <c r="G16" s="39">
        <v>0.1</v>
      </c>
      <c r="H16" s="6">
        <f t="shared" si="0"/>
        <v>56.666668446858701</v>
      </c>
      <c r="I16" s="6">
        <f t="shared" si="1"/>
        <v>0.69842737913131703</v>
      </c>
      <c r="J16" s="7">
        <f t="shared" si="2"/>
        <v>0.27441859245300199</v>
      </c>
      <c r="K16" s="41">
        <f t="shared" si="3"/>
        <v>69</v>
      </c>
      <c r="L16" s="6">
        <f t="shared" si="4"/>
        <v>0.682941734790802</v>
      </c>
      <c r="M16" s="7">
        <v>0.33610993623733498</v>
      </c>
      <c r="O16" t="s">
        <v>50</v>
      </c>
    </row>
  </sheetData>
  <mergeCells count="7">
    <mergeCell ref="B2:B16"/>
    <mergeCell ref="A2:A16"/>
    <mergeCell ref="E3:E9"/>
    <mergeCell ref="E10:E16"/>
    <mergeCell ref="F2:G2"/>
    <mergeCell ref="D2:D16"/>
    <mergeCell ref="C2:C16"/>
  </mergeCells>
  <conditionalFormatting sqref="H2:H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8370-7866-497E-88D8-241B5D97DF5F}">
  <dimension ref="A1:O16"/>
  <sheetViews>
    <sheetView zoomScale="55" zoomScaleNormal="55" workbookViewId="0">
      <selection activeCell="N10" sqref="N10"/>
    </sheetView>
  </sheetViews>
  <sheetFormatPr defaultRowHeight="14.5" x14ac:dyDescent="0.35"/>
  <cols>
    <col min="1" max="1" width="10.6328125" bestFit="1" customWidth="1"/>
    <col min="2" max="3" width="5.81640625" bestFit="1" customWidth="1"/>
    <col min="4" max="4" width="7.81640625" bestFit="1" customWidth="1"/>
    <col min="5" max="5" width="10.36328125" bestFit="1" customWidth="1"/>
    <col min="7" max="7" width="10.81640625" customWidth="1"/>
  </cols>
  <sheetData>
    <row r="1" spans="1:15" ht="15" thickBot="1" x14ac:dyDescent="0.4">
      <c r="A1" s="8"/>
      <c r="B1" s="9" t="s">
        <v>2</v>
      </c>
      <c r="C1" s="9" t="s">
        <v>8</v>
      </c>
      <c r="D1" s="12" t="s">
        <v>9</v>
      </c>
      <c r="E1" s="55" t="s">
        <v>1</v>
      </c>
      <c r="F1" s="8" t="s">
        <v>6</v>
      </c>
      <c r="G1" s="23" t="s">
        <v>7</v>
      </c>
      <c r="H1" s="8" t="s">
        <v>44</v>
      </c>
      <c r="I1" s="9" t="s">
        <v>45</v>
      </c>
      <c r="J1" s="23" t="s">
        <v>46</v>
      </c>
      <c r="K1" s="44" t="s">
        <v>3</v>
      </c>
      <c r="L1" s="9" t="s">
        <v>4</v>
      </c>
      <c r="M1" s="23" t="s">
        <v>5</v>
      </c>
    </row>
    <row r="2" spans="1:15" ht="15" thickBot="1" x14ac:dyDescent="0.4">
      <c r="A2" s="63" t="s">
        <v>0</v>
      </c>
      <c r="B2" s="66">
        <v>25</v>
      </c>
      <c r="C2" s="66">
        <v>1E-3</v>
      </c>
      <c r="D2" s="75">
        <v>5.0000000000000002E-5</v>
      </c>
      <c r="E2" s="55" t="s">
        <v>36</v>
      </c>
      <c r="F2" s="78" t="s">
        <v>36</v>
      </c>
      <c r="G2" s="79"/>
      <c r="H2" s="17">
        <f>VALUE(_xlfn.TEXTBEFORE(_xlfn.TEXTAFTER(O2, "'val_acc': "), ","))</f>
        <v>96.296296296296205</v>
      </c>
      <c r="I2" s="10">
        <f>VALUE(_xlfn.TEXTBEFORE(_xlfn.TEXTAFTER(O2, "'val_auc': "), ","))</f>
        <v>1</v>
      </c>
      <c r="J2" s="11">
        <f>VALUE(_xlfn.TEXTBEFORE(_xlfn.TEXTAFTER(O2, "'val_f1': "), ","))</f>
        <v>0.96296292543411199</v>
      </c>
      <c r="K2" s="48">
        <f>VALUE(_xlfn.TEXTBEFORE(_xlfn.TEXTAFTER(O2, "'test_acc': "), ","))</f>
        <v>93.023255813953398</v>
      </c>
      <c r="L2" s="10">
        <f>VALUE(_xlfn.TEXTBEFORE(_xlfn.TEXTAFTER(O2, "'test_auc': "), ","))</f>
        <v>0.91811227798461903</v>
      </c>
      <c r="M2" s="11">
        <v>0.92434018850326505</v>
      </c>
      <c r="O2" t="s">
        <v>28</v>
      </c>
    </row>
    <row r="3" spans="1:15" ht="15" thickBot="1" x14ac:dyDescent="0.4">
      <c r="A3" s="64"/>
      <c r="B3" s="67"/>
      <c r="C3" s="67"/>
      <c r="D3" s="76"/>
      <c r="E3" s="80">
        <v>8</v>
      </c>
      <c r="F3" s="32" t="s">
        <v>47</v>
      </c>
      <c r="G3" s="23"/>
      <c r="H3" s="17">
        <f t="shared" ref="H3:H16" si="0">VALUE(_xlfn.TEXTBEFORE(_xlfn.TEXTAFTER(O3, "'val_acc': "), ","))</f>
        <v>100</v>
      </c>
      <c r="I3" s="10">
        <f t="shared" ref="I3:I16" si="1">VALUE(_xlfn.TEXTBEFORE(_xlfn.TEXTAFTER(O3, "'val_auc': "), ","))</f>
        <v>1</v>
      </c>
      <c r="J3" s="11">
        <f t="shared" ref="J3:J16" si="2">VALUE(_xlfn.TEXTBEFORE(_xlfn.TEXTAFTER(O3, "'val_f1': "), ","))</f>
        <v>1</v>
      </c>
      <c r="K3" s="48">
        <f t="shared" ref="K3:K16" si="3">VALUE(_xlfn.TEXTBEFORE(_xlfn.TEXTAFTER(O3, "'test_acc': "), ","))</f>
        <v>96.899224806201502</v>
      </c>
      <c r="L3" s="10">
        <f t="shared" ref="L3:L16" si="4">VALUE(_xlfn.TEXTBEFORE(_xlfn.TEXTAFTER(O3, "'test_auc': "), ","))</f>
        <v>0.99183678627014105</v>
      </c>
      <c r="M3" s="11">
        <v>0.96682101488113403</v>
      </c>
      <c r="O3" t="s">
        <v>29</v>
      </c>
    </row>
    <row r="4" spans="1:15" x14ac:dyDescent="0.35">
      <c r="A4" s="64"/>
      <c r="B4" s="67"/>
      <c r="C4" s="67"/>
      <c r="D4" s="76"/>
      <c r="E4" s="81"/>
      <c r="F4" s="27">
        <v>0.9</v>
      </c>
      <c r="G4" s="28">
        <v>0.3</v>
      </c>
      <c r="H4" s="29">
        <f t="shared" si="0"/>
        <v>100</v>
      </c>
      <c r="I4" s="30">
        <f t="shared" si="1"/>
        <v>1</v>
      </c>
      <c r="J4" s="31">
        <f t="shared" si="2"/>
        <v>1</v>
      </c>
      <c r="K4" s="43">
        <f t="shared" si="3"/>
        <v>96.124031007751896</v>
      </c>
      <c r="L4" s="30">
        <f t="shared" si="4"/>
        <v>0.97474491596221902</v>
      </c>
      <c r="M4" s="31">
        <v>0.95796680450439398</v>
      </c>
      <c r="O4" t="s">
        <v>35</v>
      </c>
    </row>
    <row r="5" spans="1:15" x14ac:dyDescent="0.35">
      <c r="A5" s="64"/>
      <c r="B5" s="67"/>
      <c r="C5" s="67"/>
      <c r="D5" s="76"/>
      <c r="E5" s="81"/>
      <c r="F5" s="3">
        <v>0.7</v>
      </c>
      <c r="G5" s="24">
        <v>0.3</v>
      </c>
      <c r="H5" s="18">
        <f t="shared" si="0"/>
        <v>96.296296296296205</v>
      </c>
      <c r="I5" s="1">
        <f t="shared" si="1"/>
        <v>1</v>
      </c>
      <c r="J5" s="4">
        <f t="shared" si="2"/>
        <v>0.96296292543411199</v>
      </c>
      <c r="K5" s="40">
        <f t="shared" si="3"/>
        <v>93.023255813953398</v>
      </c>
      <c r="L5" s="1">
        <f t="shared" si="4"/>
        <v>0.95765304565429599</v>
      </c>
      <c r="M5" s="4">
        <v>0.92565792798995905</v>
      </c>
      <c r="O5" t="s">
        <v>34</v>
      </c>
    </row>
    <row r="6" spans="1:15" x14ac:dyDescent="0.35">
      <c r="A6" s="64"/>
      <c r="B6" s="67"/>
      <c r="C6" s="67"/>
      <c r="D6" s="76"/>
      <c r="E6" s="81"/>
      <c r="F6" s="3">
        <v>0.5</v>
      </c>
      <c r="G6" s="24">
        <v>0.3</v>
      </c>
      <c r="H6" s="18">
        <f t="shared" si="0"/>
        <v>96.296296296296205</v>
      </c>
      <c r="I6" s="1">
        <f t="shared" si="1"/>
        <v>1</v>
      </c>
      <c r="J6" s="4">
        <f t="shared" si="2"/>
        <v>0.96296292543411199</v>
      </c>
      <c r="K6" s="40">
        <f t="shared" si="3"/>
        <v>91.472868217054199</v>
      </c>
      <c r="L6" s="1">
        <f t="shared" si="4"/>
        <v>0.91760206222534102</v>
      </c>
      <c r="M6" s="4">
        <v>0.90565788745880105</v>
      </c>
      <c r="O6" t="s">
        <v>33</v>
      </c>
    </row>
    <row r="7" spans="1:15" x14ac:dyDescent="0.35">
      <c r="A7" s="64"/>
      <c r="B7" s="67"/>
      <c r="C7" s="67"/>
      <c r="D7" s="76"/>
      <c r="E7" s="81"/>
      <c r="F7" s="3">
        <v>0.9</v>
      </c>
      <c r="G7" s="24">
        <v>0.1</v>
      </c>
      <c r="H7" s="18">
        <f t="shared" si="0"/>
        <v>100</v>
      </c>
      <c r="I7" s="1">
        <f t="shared" si="1"/>
        <v>1</v>
      </c>
      <c r="J7" s="4">
        <f t="shared" si="2"/>
        <v>1</v>
      </c>
      <c r="K7" s="40">
        <f t="shared" si="3"/>
        <v>97.674418604651095</v>
      </c>
      <c r="L7" s="1">
        <f t="shared" si="4"/>
        <v>0.97653061151504505</v>
      </c>
      <c r="M7" s="4">
        <v>0.97500807046890203</v>
      </c>
      <c r="O7" t="s">
        <v>32</v>
      </c>
    </row>
    <row r="8" spans="1:15" x14ac:dyDescent="0.35">
      <c r="A8" s="64"/>
      <c r="B8" s="67"/>
      <c r="C8" s="67"/>
      <c r="D8" s="76"/>
      <c r="E8" s="81"/>
      <c r="F8" s="3">
        <v>0.7</v>
      </c>
      <c r="G8" s="24">
        <v>0.1</v>
      </c>
      <c r="H8" s="18">
        <f t="shared" si="0"/>
        <v>88.8888888888888</v>
      </c>
      <c r="I8" s="1">
        <f t="shared" si="1"/>
        <v>0.95054942369461004</v>
      </c>
      <c r="J8" s="4">
        <f t="shared" si="2"/>
        <v>0.88888889551162698</v>
      </c>
      <c r="K8" s="40">
        <f t="shared" si="3"/>
        <v>80.620155038759606</v>
      </c>
      <c r="L8" s="1">
        <f t="shared" si="4"/>
        <v>0.81147956848144498</v>
      </c>
      <c r="M8" s="4">
        <v>0.77505755424499501</v>
      </c>
      <c r="O8" t="s">
        <v>31</v>
      </c>
    </row>
    <row r="9" spans="1:15" ht="15" thickBot="1" x14ac:dyDescent="0.4">
      <c r="A9" s="64"/>
      <c r="B9" s="67"/>
      <c r="C9" s="67"/>
      <c r="D9" s="76"/>
      <c r="E9" s="82"/>
      <c r="F9" s="49">
        <v>0.5</v>
      </c>
      <c r="G9" s="54">
        <v>0.1</v>
      </c>
      <c r="H9" s="50">
        <f t="shared" si="0"/>
        <v>74.074074639214402</v>
      </c>
      <c r="I9" s="51">
        <f t="shared" si="1"/>
        <v>0.74725270271301203</v>
      </c>
      <c r="J9" s="52">
        <f t="shared" si="2"/>
        <v>0.73492288589477495</v>
      </c>
      <c r="K9" s="53">
        <f t="shared" si="3"/>
        <v>69.767441860465098</v>
      </c>
      <c r="L9" s="51">
        <f t="shared" si="4"/>
        <v>0.60969388484954801</v>
      </c>
      <c r="M9" s="52">
        <v>0.581343114376068</v>
      </c>
      <c r="O9" t="s">
        <v>30</v>
      </c>
    </row>
    <row r="10" spans="1:15" ht="15" thickBot="1" x14ac:dyDescent="0.4">
      <c r="A10" s="64"/>
      <c r="B10" s="67"/>
      <c r="C10" s="67"/>
      <c r="D10" s="76"/>
      <c r="E10" s="80">
        <v>16</v>
      </c>
      <c r="F10" s="32" t="s">
        <v>47</v>
      </c>
      <c r="G10" s="23"/>
      <c r="H10" s="17">
        <f t="shared" si="0"/>
        <v>100</v>
      </c>
      <c r="I10" s="10">
        <f t="shared" si="1"/>
        <v>1</v>
      </c>
      <c r="J10" s="11">
        <f t="shared" si="2"/>
        <v>1</v>
      </c>
      <c r="K10" s="48">
        <f t="shared" si="3"/>
        <v>92.248062015503805</v>
      </c>
      <c r="L10" s="10">
        <f t="shared" si="4"/>
        <v>0.94821429252624501</v>
      </c>
      <c r="M10" s="11">
        <v>0.91772961616516102</v>
      </c>
      <c r="O10" t="s">
        <v>61</v>
      </c>
    </row>
    <row r="11" spans="1:15" x14ac:dyDescent="0.35">
      <c r="A11" s="64"/>
      <c r="B11" s="67"/>
      <c r="C11" s="67"/>
      <c r="D11" s="76"/>
      <c r="E11" s="81"/>
      <c r="F11" s="27">
        <v>0.9</v>
      </c>
      <c r="G11" s="28">
        <v>0.3</v>
      </c>
      <c r="H11" s="29">
        <f t="shared" si="0"/>
        <v>100</v>
      </c>
      <c r="I11" s="30">
        <f t="shared" si="1"/>
        <v>1</v>
      </c>
      <c r="J11" s="31">
        <f t="shared" si="2"/>
        <v>1</v>
      </c>
      <c r="K11" s="43">
        <f t="shared" si="3"/>
        <v>96.124031007751896</v>
      </c>
      <c r="L11" s="30">
        <f t="shared" si="4"/>
        <v>0.95892858505249001</v>
      </c>
      <c r="M11" s="31">
        <v>0.95796680450439398</v>
      </c>
      <c r="O11" t="s">
        <v>58</v>
      </c>
    </row>
    <row r="12" spans="1:15" x14ac:dyDescent="0.35">
      <c r="A12" s="64"/>
      <c r="B12" s="67"/>
      <c r="C12" s="67"/>
      <c r="D12" s="76"/>
      <c r="E12" s="81"/>
      <c r="F12" s="3">
        <v>0.7</v>
      </c>
      <c r="G12" s="24">
        <v>0.3</v>
      </c>
      <c r="H12" s="18">
        <f t="shared" si="0"/>
        <v>96.296296296296205</v>
      </c>
      <c r="I12" s="1">
        <f t="shared" si="1"/>
        <v>1</v>
      </c>
      <c r="J12" s="4">
        <f t="shared" si="2"/>
        <v>0.96296292543411199</v>
      </c>
      <c r="K12" s="40">
        <f t="shared" si="3"/>
        <v>93.798449612403104</v>
      </c>
      <c r="L12" s="1">
        <f t="shared" si="4"/>
        <v>0.95637756586074796</v>
      </c>
      <c r="M12" s="4">
        <v>0.93364202976226796</v>
      </c>
      <c r="O12" t="s">
        <v>59</v>
      </c>
    </row>
    <row r="13" spans="1:15" x14ac:dyDescent="0.35">
      <c r="A13" s="64"/>
      <c r="B13" s="67"/>
      <c r="C13" s="67"/>
      <c r="D13" s="76"/>
      <c r="E13" s="81"/>
      <c r="F13" s="3">
        <v>0.5</v>
      </c>
      <c r="G13" s="24">
        <v>0.3</v>
      </c>
      <c r="H13" s="18">
        <f t="shared" si="0"/>
        <v>92.592594570583699</v>
      </c>
      <c r="I13" s="1">
        <f t="shared" si="1"/>
        <v>0.99450546503067005</v>
      </c>
      <c r="J13" s="4">
        <f t="shared" si="2"/>
        <v>0.92582416534423795</v>
      </c>
      <c r="K13" s="40">
        <f t="shared" si="3"/>
        <v>86.046511627906895</v>
      </c>
      <c r="L13" s="1">
        <f t="shared" si="4"/>
        <v>0.87219381332397405</v>
      </c>
      <c r="M13" s="4">
        <v>0.843023240566253</v>
      </c>
      <c r="O13" t="s">
        <v>60</v>
      </c>
    </row>
    <row r="14" spans="1:15" x14ac:dyDescent="0.35">
      <c r="A14" s="64"/>
      <c r="B14" s="67"/>
      <c r="C14" s="67"/>
      <c r="D14" s="76"/>
      <c r="E14" s="81"/>
      <c r="F14" s="3">
        <v>0.9</v>
      </c>
      <c r="G14" s="24">
        <v>0.1</v>
      </c>
      <c r="H14" s="18">
        <f t="shared" si="0"/>
        <v>100</v>
      </c>
      <c r="I14" s="1">
        <f t="shared" si="1"/>
        <v>1</v>
      </c>
      <c r="J14" s="4">
        <f t="shared" si="2"/>
        <v>1</v>
      </c>
      <c r="K14" s="40">
        <f t="shared" si="3"/>
        <v>89.147286821705407</v>
      </c>
      <c r="L14" s="1">
        <f t="shared" si="4"/>
        <v>0.93112242221832198</v>
      </c>
      <c r="M14" s="4">
        <v>0.88387340307235696</v>
      </c>
      <c r="O14" t="s">
        <v>55</v>
      </c>
    </row>
    <row r="15" spans="1:15" x14ac:dyDescent="0.35">
      <c r="A15" s="64"/>
      <c r="B15" s="67"/>
      <c r="C15" s="67"/>
      <c r="D15" s="76"/>
      <c r="E15" s="81"/>
      <c r="F15" s="3">
        <v>0.7</v>
      </c>
      <c r="G15" s="24">
        <v>0.1</v>
      </c>
      <c r="H15" s="18">
        <f t="shared" si="0"/>
        <v>88.888889736599396</v>
      </c>
      <c r="I15" s="1">
        <f t="shared" si="1"/>
        <v>0.96703290939330999</v>
      </c>
      <c r="J15" s="4">
        <f t="shared" si="2"/>
        <v>0.88888889551162698</v>
      </c>
      <c r="K15" s="40">
        <f t="shared" si="3"/>
        <v>80.620155038759606</v>
      </c>
      <c r="L15" s="1">
        <f t="shared" si="4"/>
        <v>0.802295923233032</v>
      </c>
      <c r="M15" s="4">
        <v>0.77193975448608398</v>
      </c>
      <c r="O15" t="s">
        <v>56</v>
      </c>
    </row>
    <row r="16" spans="1:15" ht="15" thickBot="1" x14ac:dyDescent="0.4">
      <c r="A16" s="65"/>
      <c r="B16" s="68"/>
      <c r="C16" s="68"/>
      <c r="D16" s="77"/>
      <c r="E16" s="82"/>
      <c r="F16" s="5">
        <v>0.5</v>
      </c>
      <c r="G16" s="25">
        <v>0.1</v>
      </c>
      <c r="H16" s="19">
        <f t="shared" si="0"/>
        <v>70.370370087800197</v>
      </c>
      <c r="I16" s="6">
        <f t="shared" si="1"/>
        <v>0.66483509540557795</v>
      </c>
      <c r="J16" s="7">
        <f t="shared" si="2"/>
        <v>0.693181872367858</v>
      </c>
      <c r="K16" s="41">
        <f t="shared" si="3"/>
        <v>67.441860465116207</v>
      </c>
      <c r="L16" s="6">
        <f t="shared" si="4"/>
        <v>0.53571426868438698</v>
      </c>
      <c r="M16" s="7">
        <v>0.53293108940124501</v>
      </c>
      <c r="O16" t="s">
        <v>57</v>
      </c>
    </row>
  </sheetData>
  <mergeCells count="7">
    <mergeCell ref="A2:A16"/>
    <mergeCell ref="F2:G2"/>
    <mergeCell ref="E3:E9"/>
    <mergeCell ref="E10:E16"/>
    <mergeCell ref="D2:D16"/>
    <mergeCell ref="C2:C16"/>
    <mergeCell ref="B2:B16"/>
  </mergeCells>
  <conditionalFormatting sqref="H2:H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BRACS</vt:lpstr>
      <vt:lpstr>CAMELYON17</vt:lpstr>
      <vt:lpstr>CAMELYON16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Hsien Rong Tan</dc:creator>
  <cp:lastModifiedBy>Hsien Rong Tan</cp:lastModifiedBy>
  <dcterms:created xsi:type="dcterms:W3CDTF">2025-11-30T06:43:27Z</dcterms:created>
  <dcterms:modified xsi:type="dcterms:W3CDTF">2025-12-04T04:15:05Z</dcterms:modified>
</cp:coreProperties>
</file>